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enario Summary" sheetId="2" state="visible" r:id="rId2"/>
  </sheets>
  <definedNames>
    <definedName name="_xlnm._FilterDatabase" localSheetId="0" hidden="1">'Assumptions'!$A$1:$E$16</definedName>
    <definedName name="_xlnm._FilterDatabase" localSheetId="1" hidden="1">'Scenario Summary'!$A$1:$E$6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bottom style="thin">
        <color rgb="00CCD3D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Operating Profit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'Scenario Summary'!$B$1:$E$1</f>
            </numRef>
          </cat>
          <val>
            <numRef>
              <f>'Scenario Summary'!$B$2:$B$5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'Scenario Summary'!$B$1:$E$1</f>
            </numRef>
          </cat>
          <val>
            <numRef>
              <f>'Scenario Summary'!$C$2:$C$5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'Scenario Summary'!$B$1:$E$1</f>
            </numRef>
          </cat>
          <val>
            <numRef>
              <f>'Scenario Summary'!$D$2:$D$5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'Scenario Summary'!$B$1:$E$1</f>
            </numRef>
          </cat>
          <val>
            <numRef>
              <f>'Scenario Summary'!$E$2:$E$5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Input</t>
        </is>
      </c>
      <c r="B1" s="1" t="inlineStr">
        <is>
          <t>Conservative</t>
        </is>
      </c>
      <c r="C1" s="1" t="inlineStr">
        <is>
          <t>Base</t>
        </is>
      </c>
      <c r="D1" s="1" t="inlineStr">
        <is>
          <t>Strong</t>
        </is>
      </c>
      <c r="E1" s="1" t="inlineStr">
        <is>
          <t>Aggressive</t>
        </is>
      </c>
    </row>
    <row r="2">
      <c r="A2" s="2" t="inlineStr">
        <is>
          <t>O1 engagements/year</t>
        </is>
      </c>
      <c r="B2" s="2" t="n">
        <v>6</v>
      </c>
      <c r="C2" s="2" t="n">
        <v>10</v>
      </c>
      <c r="D2" s="2" t="n">
        <v>16</v>
      </c>
      <c r="E2" s="2" t="n">
        <v>24</v>
      </c>
    </row>
    <row r="3">
      <c r="A3" s="3" t="inlineStr">
        <is>
          <t>O2 engagements/year</t>
        </is>
      </c>
      <c r="B3" s="3" t="n">
        <v>2</v>
      </c>
      <c r="C3" s="3" t="n">
        <v>5</v>
      </c>
      <c r="D3" s="3" t="n">
        <v>8</v>
      </c>
      <c r="E3" s="3" t="n">
        <v>12</v>
      </c>
    </row>
    <row r="4">
      <c r="A4" s="2" t="inlineStr">
        <is>
          <t>O3 engagements/year</t>
        </is>
      </c>
      <c r="B4" s="2" t="n">
        <v>0</v>
      </c>
      <c r="C4" s="2" t="n">
        <v>2</v>
      </c>
      <c r="D4" s="2" t="n">
        <v>4</v>
      </c>
      <c r="E4" s="2" t="n">
        <v>7</v>
      </c>
    </row>
    <row r="5">
      <c r="A5" s="3" t="inlineStr">
        <is>
          <t>O4 engagements/year</t>
        </is>
      </c>
      <c r="B5" s="3" t="n">
        <v>0</v>
      </c>
      <c r="C5" s="3" t="n">
        <v>0</v>
      </c>
      <c r="D5" s="3" t="n">
        <v>1</v>
      </c>
      <c r="E5" s="3" t="n">
        <v>2</v>
      </c>
    </row>
    <row r="6">
      <c r="A6" s="2" t="inlineStr">
        <is>
          <t>Avg O5 monthly clients</t>
        </is>
      </c>
      <c r="B6" s="2" t="n">
        <v>0</v>
      </c>
      <c r="C6" s="2" t="n">
        <v>2</v>
      </c>
      <c r="D6" s="2" t="n">
        <v>5</v>
      </c>
      <c r="E6" s="2" t="n">
        <v>9</v>
      </c>
    </row>
    <row r="7">
      <c r="A7" s="3" t="inlineStr">
        <is>
          <t>Stripe fee % assumption</t>
        </is>
      </c>
      <c r="B7" s="3" t="n">
        <v>0.029</v>
      </c>
      <c r="C7" s="3" t="n">
        <v>0.029</v>
      </c>
      <c r="D7" s="3" t="n">
        <v>0.029</v>
      </c>
      <c r="E7" s="3" t="n">
        <v>0.029</v>
      </c>
    </row>
    <row r="8">
      <c r="A8" s="2" t="inlineStr">
        <is>
          <t>Stripe fixed fee/transaction</t>
        </is>
      </c>
      <c r="B8" s="2" t="n">
        <v>0.3</v>
      </c>
      <c r="C8" s="2" t="n">
        <v>0.3</v>
      </c>
      <c r="D8" s="2" t="n">
        <v>0.3</v>
      </c>
      <c r="E8" s="2" t="n">
        <v>0.3</v>
      </c>
    </row>
    <row r="9">
      <c r="A9" s="3" t="inlineStr">
        <is>
          <t>Estimated transactions/year</t>
        </is>
      </c>
      <c r="B9" s="3" t="n">
        <v>10</v>
      </c>
      <c r="C9" s="3" t="n">
        <v>35</v>
      </c>
      <c r="D9" s="3" t="n">
        <v>75</v>
      </c>
      <c r="E9" s="3" t="n">
        <v>140</v>
      </c>
    </row>
    <row r="10">
      <c r="A10" s="2" t="inlineStr">
        <is>
          <t>Software/year</t>
        </is>
      </c>
      <c r="B10" s="2" t="n">
        <v>6000</v>
      </c>
      <c r="C10" s="2" t="n">
        <v>9000</v>
      </c>
      <c r="D10" s="2" t="n">
        <v>15000</v>
      </c>
      <c r="E10" s="2" t="n">
        <v>24000</v>
      </c>
    </row>
    <row r="11">
      <c r="A11" s="3" t="inlineStr">
        <is>
          <t>Travel/year</t>
        </is>
      </c>
      <c r="B11" s="3" t="n">
        <v>4000</v>
      </c>
      <c r="C11" s="3" t="n">
        <v>8000</v>
      </c>
      <c r="D11" s="3" t="n">
        <v>16000</v>
      </c>
      <c r="E11" s="3" t="n">
        <v>30000</v>
      </c>
    </row>
    <row r="12">
      <c r="A12" s="2" t="inlineStr">
        <is>
          <t>Legal/year</t>
        </is>
      </c>
      <c r="B12" s="2" t="n">
        <v>7500</v>
      </c>
      <c r="C12" s="2" t="n">
        <v>7500</v>
      </c>
      <c r="D12" s="2" t="n">
        <v>5000</v>
      </c>
      <c r="E12" s="2" t="n">
        <v>7500</v>
      </c>
    </row>
    <row r="13">
      <c r="A13" s="3" t="inlineStr">
        <is>
          <t>Accounting/year</t>
        </is>
      </c>
      <c r="B13" s="3" t="n">
        <v>2400</v>
      </c>
      <c r="C13" s="3" t="n">
        <v>3600</v>
      </c>
      <c r="D13" s="3" t="n">
        <v>5000</v>
      </c>
      <c r="E13" s="3" t="n">
        <v>7500</v>
      </c>
    </row>
    <row r="14">
      <c r="A14" s="2" t="inlineStr">
        <is>
          <t>Insurance/year</t>
        </is>
      </c>
      <c r="B14" s="2" t="n">
        <v>2500</v>
      </c>
      <c r="C14" s="2" t="n">
        <v>3500</v>
      </c>
      <c r="D14" s="2" t="n">
        <v>5000</v>
      </c>
      <c r="E14" s="2" t="n">
        <v>7500</v>
      </c>
    </row>
    <row r="15">
      <c r="A15" s="3" t="inlineStr">
        <is>
          <t>Contractors % revenue</t>
        </is>
      </c>
      <c r="B15" s="3" t="n">
        <v>0.03</v>
      </c>
      <c r="C15" s="3" t="n">
        <v>0.08</v>
      </c>
      <c r="D15" s="3" t="n">
        <v>0.15</v>
      </c>
      <c r="E15" s="3" t="n">
        <v>0.22</v>
      </c>
    </row>
    <row r="16">
      <c r="A16" s="2" t="inlineStr">
        <is>
          <t>Other operating expense/year</t>
        </is>
      </c>
      <c r="B16" s="2" t="n">
        <v>4000</v>
      </c>
      <c r="C16" s="2" t="n">
        <v>7000</v>
      </c>
      <c r="D16" s="2" t="n">
        <v>12000</v>
      </c>
      <c r="E16" s="2" t="n">
        <v>20000</v>
      </c>
    </row>
  </sheetData>
  <autoFilter ref="A1:E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>
      <c r="A1" s="1" t="inlineStr">
        <is>
          <t>Metric</t>
        </is>
      </c>
      <c r="B1" s="1" t="inlineStr">
        <is>
          <t>Conservative</t>
        </is>
      </c>
      <c r="C1" s="1" t="inlineStr">
        <is>
          <t>Base</t>
        </is>
      </c>
      <c r="D1" s="1" t="inlineStr">
        <is>
          <t>Strong</t>
        </is>
      </c>
      <c r="E1" s="1" t="inlineStr">
        <is>
          <t>Aggressive</t>
        </is>
      </c>
    </row>
    <row r="2">
      <c r="A2" s="2" t="inlineStr">
        <is>
          <t>Revenue</t>
        </is>
      </c>
      <c r="B2" s="2">
        <f>'Assumptions'!B2*2500+'Assumptions'!B3*7500+'Assumptions'!B4*18000+'Assumptions'!B5*45000+'Assumptions'!B6*2500*12</f>
        <v/>
      </c>
      <c r="C2" s="2">
        <f>'Assumptions'!C2*2500+'Assumptions'!C3*7500+'Assumptions'!C4*18000+'Assumptions'!C5*45000+'Assumptions'!C6*2500*12</f>
        <v/>
      </c>
      <c r="D2" s="2">
        <f>'Assumptions'!D2*2500+'Assumptions'!D3*7500+'Assumptions'!D4*18000+'Assumptions'!D5*45000+'Assumptions'!D6*2500*12</f>
        <v/>
      </c>
      <c r="E2" s="2">
        <f>'Assumptions'!E2*2500+'Assumptions'!E3*7500+'Assumptions'!E4*18000+'Assumptions'!E5*45000+'Assumptions'!E6*2500*12</f>
        <v/>
      </c>
    </row>
    <row r="3">
      <c r="A3" s="3" t="inlineStr">
        <is>
          <t>Stripe fees</t>
        </is>
      </c>
      <c r="B3" s="3">
        <f>B2*'Assumptions'!B7+'Assumptions'!B9*'Assumptions'!B8</f>
        <v/>
      </c>
      <c r="C3" s="3">
        <f>B2*'Assumptions'!C7+'Assumptions'!C9*'Assumptions'!C8</f>
        <v/>
      </c>
      <c r="D3" s="3">
        <f>B2*'Assumptions'!D7+'Assumptions'!D9*'Assumptions'!D8</f>
        <v/>
      </c>
      <c r="E3" s="3">
        <f>B2*'Assumptions'!E7+'Assumptions'!E9*'Assumptions'!E8</f>
        <v/>
      </c>
    </row>
    <row r="4">
      <c r="A4" s="2" t="inlineStr">
        <is>
          <t>Operating expenses</t>
        </is>
      </c>
      <c r="B4" s="2">
        <f>SUM('Assumptions'!B10:'Assumptions'!B14)+'Assumptions'!B16+B2*'Assumptions'!B15</f>
        <v/>
      </c>
      <c r="C4" s="2">
        <f>SUM('Assumptions'!C10:'Assumptions'!C14)+'Assumptions'!C16+B2*'Assumptions'!C15</f>
        <v/>
      </c>
      <c r="D4" s="2">
        <f>SUM('Assumptions'!D10:'Assumptions'!D14)+'Assumptions'!D16+B2*'Assumptions'!D15</f>
        <v/>
      </c>
      <c r="E4" s="2">
        <f>SUM('Assumptions'!E10:'Assumptions'!E14)+'Assumptions'!E16+B2*'Assumptions'!E15</f>
        <v/>
      </c>
    </row>
    <row r="5">
      <c r="A5" s="3" t="inlineStr">
        <is>
          <t>Operating profit</t>
        </is>
      </c>
      <c r="B5" s="3">
        <f>B2-B3-B4</f>
        <v/>
      </c>
      <c r="C5" s="3">
        <f>B2-B3-B4</f>
        <v/>
      </c>
      <c r="D5" s="3">
        <f>B2-B3-B4</f>
        <v/>
      </c>
      <c r="E5" s="3">
        <f>B2-B3-B4</f>
        <v/>
      </c>
    </row>
    <row r="6">
      <c r="A6" s="2" t="inlineStr">
        <is>
          <t>Operating margin</t>
        </is>
      </c>
      <c r="B6" s="2">
        <f>IF(B2&gt;0,B5/B2,0)</f>
        <v/>
      </c>
      <c r="C6" s="2">
        <f>IF(B2&gt;0,B5/B2,0)</f>
        <v/>
      </c>
      <c r="D6" s="2">
        <f>IF(B2&gt;0,B5/B2,0)</f>
        <v/>
      </c>
      <c r="E6" s="2">
        <f>IF(B2&gt;0,B5/B2,0)</f>
        <v/>
      </c>
    </row>
  </sheetData>
  <autoFilter ref="A1:E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2026-08-28T20:18:26Z</dcterms:created>
  <dcterms:modified xmlns:dcterms="http://purl.org/dc/terms/" xmlns:xsi="http://www.w3.org/2001/XMLSchema-instance" xsi:type="dcterms:W3CDTF">2026-08-28T20:18:26Z</dcterms:modified>
</cp:coreProperties>
</file>