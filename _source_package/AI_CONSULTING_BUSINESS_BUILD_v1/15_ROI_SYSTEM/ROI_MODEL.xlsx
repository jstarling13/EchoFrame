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OI Summary" sheetId="2" state="visible" r:id="rId2"/>
  </sheets>
  <definedNames>
    <definedName name="_xlnm._FilterDatabase" localSheetId="0" hidden="1">'Inputs'!$A$1:$C$19</definedName>
    <definedName name="_xlnm._FilterDatabase" localSheetId="1" hidden="1">'ROI Summary'!$A$1:$D$11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bottom style="thin">
        <color rgb="00CCD3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37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Monthly cases</t>
        </is>
      </c>
      <c r="B2" s="2" t="n">
        <v>500</v>
      </c>
      <c r="C2" s="2" t="inlineStr">
        <is>
          <t>Observed volume</t>
        </is>
      </c>
    </row>
    <row r="3">
      <c r="A3" s="3" t="inlineStr">
        <is>
          <t>Minutes before/case</t>
        </is>
      </c>
      <c r="B3" s="3" t="n">
        <v>20</v>
      </c>
      <c r="C3" s="3" t="inlineStr">
        <is>
          <t>Time study</t>
        </is>
      </c>
    </row>
    <row r="4">
      <c r="A4" s="2" t="inlineStr">
        <is>
          <t>Minutes after/case</t>
        </is>
      </c>
      <c r="B4" s="2" t="n">
        <v>12</v>
      </c>
      <c r="C4" s="2" t="inlineStr">
        <is>
          <t>Pilot result/estimate</t>
        </is>
      </c>
    </row>
    <row r="5">
      <c r="A5" s="3" t="inlineStr">
        <is>
          <t>Loaded hourly cost</t>
        </is>
      </c>
      <c r="B5" s="3" t="n">
        <v>45</v>
      </c>
      <c r="C5" s="3" t="inlineStr">
        <is>
          <t>Finance-approved</t>
        </is>
      </c>
    </row>
    <row r="6">
      <c r="A6" s="2" t="inlineStr">
        <is>
          <t>Monthly overtime/contractor reduction</t>
        </is>
      </c>
      <c r="B6" s="2" t="n">
        <v>0</v>
      </c>
      <c r="C6" s="2" t="inlineStr">
        <is>
          <t>Actual spend avoided only</t>
        </is>
      </c>
    </row>
    <row r="7">
      <c r="A7" s="3" t="inlineStr">
        <is>
          <t>Monthly capacity utilization</t>
        </is>
      </c>
      <c r="B7" s="3" t="n">
        <v>0.6</v>
      </c>
      <c r="C7" s="3" t="inlineStr">
        <is>
          <t>Share of recovered hours redeployed</t>
        </is>
      </c>
    </row>
    <row r="8">
      <c r="A8" s="2" t="inlineStr">
        <is>
          <t>Contribution per utilized hour</t>
        </is>
      </c>
      <c r="B8" s="2" t="n">
        <v>75</v>
      </c>
      <c r="C8" s="2" t="inlineStr">
        <is>
          <t>Not revenue; contribution</t>
        </is>
      </c>
    </row>
    <row r="9">
      <c r="A9" s="3" t="inlineStr">
        <is>
          <t>Revenue opportunities/month</t>
        </is>
      </c>
      <c r="B9" s="3" t="n">
        <v>20</v>
      </c>
      <c r="C9" s="3" t="inlineStr">
        <is>
          <t>Eligible incremental opportunities</t>
        </is>
      </c>
    </row>
    <row r="10">
      <c r="A10" s="2" t="inlineStr">
        <is>
          <t>Incremental conversion probability</t>
        </is>
      </c>
      <c r="B10" s="2" t="n">
        <v>0.05</v>
      </c>
      <c r="C10" s="2" t="inlineStr">
        <is>
          <t>Probability-weighted</t>
        </is>
      </c>
    </row>
    <row r="11">
      <c r="A11" s="3" t="inlineStr">
        <is>
          <t>Contribution per win</t>
        </is>
      </c>
      <c r="B11" s="3" t="n">
        <v>1000</v>
      </c>
      <c r="C11" s="3" t="inlineStr">
        <is>
          <t>Gross contribution</t>
        </is>
      </c>
    </row>
    <row r="12">
      <c r="A12" s="2" t="inlineStr">
        <is>
          <t>Annual expected loss before</t>
        </is>
      </c>
      <c r="B12" s="2" t="n">
        <v>12000</v>
      </c>
      <c r="C12" s="2" t="inlineStr">
        <is>
          <t>Risk model</t>
        </is>
      </c>
    </row>
    <row r="13">
      <c r="A13" s="3" t="inlineStr">
        <is>
          <t>Expected risk reduction</t>
        </is>
      </c>
      <c r="B13" s="3" t="n">
        <v>0.2</v>
      </c>
      <c r="C13" s="3" t="inlineStr">
        <is>
          <t>Evidence-based</t>
        </is>
      </c>
    </row>
    <row r="14">
      <c r="A14" s="2" t="inlineStr">
        <is>
          <t>Quality cases/month</t>
        </is>
      </c>
      <c r="B14" s="2" t="n">
        <v>500</v>
      </c>
      <c r="C14" s="2" t="inlineStr">
        <is>
          <t>Reviewed volume</t>
        </is>
      </c>
    </row>
    <row r="15">
      <c r="A15" s="3" t="inlineStr">
        <is>
          <t>Defect rate before</t>
        </is>
      </c>
      <c r="B15" s="3" t="n">
        <v>0.08</v>
      </c>
      <c r="C15" s="3" t="inlineStr">
        <is>
          <t>Baseline</t>
        </is>
      </c>
    </row>
    <row r="16">
      <c r="A16" s="2" t="inlineStr">
        <is>
          <t>Defect rate after</t>
        </is>
      </c>
      <c r="B16" s="2" t="n">
        <v>0.04</v>
      </c>
      <c r="C16" s="2" t="inlineStr">
        <is>
          <t>Pilot</t>
        </is>
      </c>
    </row>
    <row r="17">
      <c r="A17" s="3" t="inlineStr">
        <is>
          <t>Cost per defect</t>
        </is>
      </c>
      <c r="B17" s="3" t="n">
        <v>25</v>
      </c>
      <c r="C17" s="3" t="inlineStr">
        <is>
          <t>Rework/credit only</t>
        </is>
      </c>
    </row>
    <row r="18">
      <c r="A18" s="2" t="inlineStr">
        <is>
          <t>One-time implementation cost</t>
        </is>
      </c>
      <c r="B18" s="2" t="n">
        <v>7500</v>
      </c>
      <c r="C18" s="2" t="inlineStr">
        <is>
          <t>Project</t>
        </is>
      </c>
    </row>
    <row r="19">
      <c r="A19" s="3" t="inlineStr">
        <is>
          <t>Monthly software/support cost</t>
        </is>
      </c>
      <c r="B19" s="3" t="n">
        <v>750</v>
      </c>
      <c r="C19" s="3" t="inlineStr">
        <is>
          <t>Ongoing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8" customWidth="1" min="3" max="3"/>
    <col width="35" customWidth="1" min="4" max="4"/>
  </cols>
  <sheetData>
    <row r="1">
      <c r="A1" s="1" t="inlineStr">
        <is>
          <t>Category</t>
        </is>
      </c>
      <c r="B1" s="1" t="inlineStr">
        <is>
          <t>Monthly Value</t>
        </is>
      </c>
      <c r="C1" s="1" t="inlineStr">
        <is>
          <t>Annual Value</t>
        </is>
      </c>
      <c r="D1" s="1" t="inlineStr">
        <is>
          <t>Classification</t>
        </is>
      </c>
    </row>
    <row r="2">
      <c r="A2" s="2" t="inlineStr">
        <is>
          <t>Hard savings</t>
        </is>
      </c>
      <c r="B2" s="2">
        <f>'Inputs'!B6</f>
        <v/>
      </c>
      <c r="C2" s="2">
        <f>B2*12</f>
        <v/>
      </c>
      <c r="D2" s="2" t="inlineStr">
        <is>
          <t>Only actual expenditure reduction</t>
        </is>
      </c>
    </row>
    <row r="3">
      <c r="A3" s="3" t="inlineStr">
        <is>
          <t>Capacity created (hours)</t>
        </is>
      </c>
      <c r="B3" s="3">
        <f>'Inputs'!B2*('Inputs'!B3-'Inputs'!B4)/60</f>
        <v/>
      </c>
      <c r="C3" s="3">
        <f>B3*12</f>
        <v/>
      </c>
      <c r="D3" s="3" t="inlineStr">
        <is>
          <t>Hours, not dollars</t>
        </is>
      </c>
    </row>
    <row r="4">
      <c r="A4" s="2" t="inlineStr">
        <is>
          <t>Capacity value</t>
        </is>
      </c>
      <c r="B4" s="2">
        <f>B3*'Inputs'!B7*'Inputs'!B8</f>
        <v/>
      </c>
      <c r="C4" s="2">
        <f>B4*12</f>
        <v/>
      </c>
      <c r="D4" s="2" t="inlineStr">
        <is>
          <t>Modeled redeployment value</t>
        </is>
      </c>
    </row>
    <row r="5">
      <c r="A5" s="3" t="inlineStr">
        <is>
          <t>Revenue opportunity</t>
        </is>
      </c>
      <c r="B5" s="3">
        <f>'Inputs'!B9*'Inputs'!B10*'Inputs'!B11</f>
        <v/>
      </c>
      <c r="C5" s="3">
        <f>B5*12</f>
        <v/>
      </c>
      <c r="D5" s="3" t="inlineStr">
        <is>
          <t>Probability-weighted contribution</t>
        </is>
      </c>
    </row>
    <row r="6">
      <c r="A6" s="2" t="inlineStr">
        <is>
          <t>Risk reduction</t>
        </is>
      </c>
      <c r="B6" s="2">
        <f>'Inputs'!B12*'Inputs'!B13/12</f>
        <v/>
      </c>
      <c r="C6" s="2">
        <f>B6*12</f>
        <v/>
      </c>
      <c r="D6" s="2" t="inlineStr">
        <is>
          <t>Expected loss reduction</t>
        </is>
      </c>
    </row>
    <row r="7">
      <c r="A7" s="3" t="inlineStr">
        <is>
          <t>Quality improvement</t>
        </is>
      </c>
      <c r="B7" s="3">
        <f>'Inputs'!B14*('Inputs'!B15-'Inputs'!B16)*'Inputs'!B17</f>
        <v/>
      </c>
      <c r="C7" s="3">
        <f>B7*12</f>
        <v/>
      </c>
      <c r="D7" s="3" t="inlineStr">
        <is>
          <t>Avoided rework/credits</t>
        </is>
      </c>
    </row>
    <row r="8">
      <c r="A8" s="2" t="inlineStr">
        <is>
          <t>Ongoing cost</t>
        </is>
      </c>
      <c r="B8" s="2">
        <f>-'Inputs'!B19</f>
        <v/>
      </c>
      <c r="C8" s="2">
        <f>B8*12</f>
        <v/>
      </c>
      <c r="D8" s="2" t="inlineStr">
        <is>
          <t>Cash cost</t>
        </is>
      </c>
    </row>
    <row r="9">
      <c r="A9" s="3" t="inlineStr">
        <is>
          <t>Net modeled monthly value</t>
        </is>
      </c>
      <c r="B9" s="3">
        <f>SUM(B2,B4:B8)</f>
        <v/>
      </c>
      <c r="C9" s="3">
        <f>B9*12</f>
        <v/>
      </c>
      <c r="D9" s="3" t="inlineStr">
        <is>
          <t>Excludes capacity hours</t>
        </is>
      </c>
    </row>
    <row r="10">
      <c r="A10" s="2" t="inlineStr">
        <is>
          <t>Year 1 net after implementation</t>
        </is>
      </c>
      <c r="B10" s="2">
        <f>B9</f>
        <v/>
      </c>
      <c r="C10" s="2">
        <f>C9-'Inputs'!B18</f>
        <v/>
      </c>
      <c r="D10" s="2" t="inlineStr">
        <is>
          <t>Scenario result</t>
        </is>
      </c>
    </row>
    <row r="11">
      <c r="A11" s="3" t="inlineStr">
        <is>
          <t>Payback months</t>
        </is>
      </c>
      <c r="B11" s="3">
        <f>IF(B9&gt;0,'Inputs'!B18/B9,"N/A")</f>
        <v/>
      </c>
      <c r="C11" s="3" t="inlineStr"/>
      <c r="D11" s="3" t="inlineStr">
        <is>
          <t>Modeled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2026-08-28T20:18:26Z</dcterms:created>
  <dcterms:modified xmlns:dcterms="http://purl.org/dc/terms/" xmlns:xsi="http://www.w3.org/2001/XMLSchema-instance" xsi:type="dcterms:W3CDTF">2026-08-28T20:18:26Z</dcterms:modified>
</cp:coreProperties>
</file>